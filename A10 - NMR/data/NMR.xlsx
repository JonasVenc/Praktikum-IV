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s\Documents\Praktikum-IV\A10 - NMR\"/>
    </mc:Choice>
  </mc:AlternateContent>
  <xr:revisionPtr revIDLastSave="0" documentId="13_ncr:1_{C7F6CA78-2806-4DF7-A387-9AAF7962C8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  <sheet name="List2" sheetId="2" r:id="rId2"/>
    <sheet name="Lis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1" l="1"/>
  <c r="B56" i="1"/>
  <c r="B57" i="1"/>
  <c r="B58" i="1"/>
  <c r="B59" i="1"/>
  <c r="B60" i="1"/>
  <c r="B61" i="1"/>
  <c r="B54" i="1"/>
  <c r="B50" i="1"/>
  <c r="B47" i="1"/>
</calcChain>
</file>

<file path=xl/sharedStrings.xml><?xml version="1.0" encoding="utf-8"?>
<sst xmlns="http://schemas.openxmlformats.org/spreadsheetml/2006/main" count="15" uniqueCount="14">
  <si>
    <t>Amplituda</t>
  </si>
  <si>
    <t>Delka pulzu / mu s</t>
  </si>
  <si>
    <t>Amplituda / Au</t>
  </si>
  <si>
    <t>Doba opakovani / ms</t>
  </si>
  <si>
    <t>D2 / ms</t>
  </si>
  <si>
    <t>D3 / ms</t>
  </si>
  <si>
    <t>T2 echo</t>
  </si>
  <si>
    <t>T1</t>
  </si>
  <si>
    <t>Indukce B0</t>
  </si>
  <si>
    <t>Indukce B1</t>
  </si>
  <si>
    <t>Šum</t>
  </si>
  <si>
    <t>N</t>
  </si>
  <si>
    <t>1/sqrt(N)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</si>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</sst>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9" formatCode="0.00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11" fontId="0" fillId="0" borderId="0" xfId="0" applyNumberFormat="1"/>
    <xf numFmtId="169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List1!$D$3:$D$22</c:f>
              <c:numCache>
                <c:formatCode>General</c:formatCode>
                <c:ptCount val="20"/>
                <c:pt idx="0">
                  <c:v>400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50</c:v>
                </c:pt>
                <c:pt idx="6">
                  <c:v>70</c:v>
                </c:pt>
                <c:pt idx="7">
                  <c:v>60</c:v>
                </c:pt>
                <c:pt idx="8">
                  <c:v>120</c:v>
                </c:pt>
                <c:pt idx="9">
                  <c:v>180</c:v>
                </c:pt>
                <c:pt idx="10">
                  <c:v>240</c:v>
                </c:pt>
                <c:pt idx="11">
                  <c:v>300</c:v>
                </c:pt>
                <c:pt idx="12">
                  <c:v>350</c:v>
                </c:pt>
                <c:pt idx="13">
                  <c:v>380</c:v>
                </c:pt>
                <c:pt idx="14">
                  <c:v>520</c:v>
                </c:pt>
              </c:numCache>
            </c:numRef>
          </c:xVal>
          <c:yVal>
            <c:numRef>
              <c:f>List1!$E$3:$E$22</c:f>
              <c:numCache>
                <c:formatCode>General</c:formatCode>
                <c:ptCount val="20"/>
                <c:pt idx="0">
                  <c:v>3.866E-2</c:v>
                </c:pt>
                <c:pt idx="1">
                  <c:v>4.5399999999999998E-3</c:v>
                </c:pt>
                <c:pt idx="2">
                  <c:v>8.8299999999999993E-3</c:v>
                </c:pt>
                <c:pt idx="3">
                  <c:v>1.154E-2</c:v>
                </c:pt>
                <c:pt idx="4">
                  <c:v>1.473E-2</c:v>
                </c:pt>
                <c:pt idx="5">
                  <c:v>2.5319999999999999E-2</c:v>
                </c:pt>
                <c:pt idx="6">
                  <c:v>2.8379999999999999E-2</c:v>
                </c:pt>
                <c:pt idx="7">
                  <c:v>2.6970000000000001E-2</c:v>
                </c:pt>
                <c:pt idx="8">
                  <c:v>3.2980000000000002E-2</c:v>
                </c:pt>
                <c:pt idx="9">
                  <c:v>3.4889999999999997E-2</c:v>
                </c:pt>
                <c:pt idx="10">
                  <c:v>3.5560000000000001E-2</c:v>
                </c:pt>
                <c:pt idx="11">
                  <c:v>3.6490000000000002E-2</c:v>
                </c:pt>
                <c:pt idx="12">
                  <c:v>3.6630000000000003E-2</c:v>
                </c:pt>
                <c:pt idx="13">
                  <c:v>3.7019999999999997E-2</c:v>
                </c:pt>
                <c:pt idx="14">
                  <c:v>3.9219999999999998E-2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FE-4ABB-B3AD-87997061C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916480"/>
        <c:axId val="126914944"/>
      </c:scatterChart>
      <c:valAx>
        <c:axId val="12691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6914944"/>
        <c:crosses val="autoZero"/>
        <c:crossBetween val="midCat"/>
      </c:valAx>
      <c:valAx>
        <c:axId val="126914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69164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085739282589688E-2"/>
          <c:y val="4.214129483814523E-2"/>
          <c:w val="0.73583223972003498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List1!$B$27:$B$44</c:f>
              <c:numCache>
                <c:formatCode>General</c:formatCode>
                <c:ptCount val="18"/>
                <c:pt idx="0">
                  <c:v>0.11</c:v>
                </c:pt>
                <c:pt idx="1">
                  <c:v>0.21</c:v>
                </c:pt>
                <c:pt idx="2">
                  <c:v>0.31</c:v>
                </c:pt>
                <c:pt idx="3">
                  <c:v>0.41</c:v>
                </c:pt>
                <c:pt idx="4">
                  <c:v>0.51</c:v>
                </c:pt>
                <c:pt idx="5">
                  <c:v>0.61</c:v>
                </c:pt>
                <c:pt idx="6">
                  <c:v>0.71</c:v>
                </c:pt>
                <c:pt idx="7">
                  <c:v>0.81</c:v>
                </c:pt>
                <c:pt idx="8">
                  <c:v>0.91</c:v>
                </c:pt>
                <c:pt idx="9">
                  <c:v>1.01</c:v>
                </c:pt>
                <c:pt idx="10">
                  <c:v>1.1100000000000001</c:v>
                </c:pt>
                <c:pt idx="11">
                  <c:v>1.41</c:v>
                </c:pt>
                <c:pt idx="12">
                  <c:v>2.0099999999999998</c:v>
                </c:pt>
                <c:pt idx="13">
                  <c:v>2.5099999999999998</c:v>
                </c:pt>
                <c:pt idx="14">
                  <c:v>3.01</c:v>
                </c:pt>
                <c:pt idx="15">
                  <c:v>3.51</c:v>
                </c:pt>
                <c:pt idx="16">
                  <c:v>4.01</c:v>
                </c:pt>
                <c:pt idx="17">
                  <c:v>5.01</c:v>
                </c:pt>
              </c:numCache>
            </c:numRef>
          </c:xVal>
          <c:yVal>
            <c:numRef>
              <c:f>List1!$C$27:$C$44</c:f>
              <c:numCache>
                <c:formatCode>General</c:formatCode>
                <c:ptCount val="18"/>
                <c:pt idx="0">
                  <c:v>5.176E-2</c:v>
                </c:pt>
                <c:pt idx="1">
                  <c:v>5.3449999999999998E-2</c:v>
                </c:pt>
                <c:pt idx="2">
                  <c:v>3.798E-2</c:v>
                </c:pt>
                <c:pt idx="3">
                  <c:v>3.3029999999999997E-2</c:v>
                </c:pt>
                <c:pt idx="4">
                  <c:v>2.928E-2</c:v>
                </c:pt>
                <c:pt idx="5">
                  <c:v>2.63E-2</c:v>
                </c:pt>
                <c:pt idx="6">
                  <c:v>2.3179999999999999E-2</c:v>
                </c:pt>
                <c:pt idx="7">
                  <c:v>2.0160000000000001E-2</c:v>
                </c:pt>
                <c:pt idx="8">
                  <c:v>1.8200000000000001E-2</c:v>
                </c:pt>
                <c:pt idx="9">
                  <c:v>1.6150000000000001E-2</c:v>
                </c:pt>
                <c:pt idx="10">
                  <c:v>1.456E-2</c:v>
                </c:pt>
                <c:pt idx="11">
                  <c:v>1.042E-2</c:v>
                </c:pt>
                <c:pt idx="12">
                  <c:v>5.9899999999999997E-3</c:v>
                </c:pt>
                <c:pt idx="13">
                  <c:v>3.82E-3</c:v>
                </c:pt>
                <c:pt idx="14">
                  <c:v>2.2200000000000002E-3</c:v>
                </c:pt>
                <c:pt idx="15">
                  <c:v>1.7899999999999999E-3</c:v>
                </c:pt>
                <c:pt idx="16">
                  <c:v>1.4E-3</c:v>
                </c:pt>
                <c:pt idx="17">
                  <c:v>8.0000000000000004E-4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A1-4B6B-8743-C90A96852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20896"/>
        <c:axId val="127114624"/>
      </c:scatterChart>
      <c:valAx>
        <c:axId val="127120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114624"/>
        <c:crosses val="autoZero"/>
        <c:crossBetween val="midCat"/>
      </c:valAx>
      <c:valAx>
        <c:axId val="127114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1208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157162</xdr:rowOff>
    </xdr:from>
    <xdr:to>
      <xdr:col>13</xdr:col>
      <xdr:colOff>342900</xdr:colOff>
      <xdr:row>16</xdr:row>
      <xdr:rowOff>42862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914400</xdr:colOff>
      <xdr:row>26</xdr:row>
      <xdr:rowOff>185737</xdr:rowOff>
    </xdr:from>
    <xdr:to>
      <xdr:col>10</xdr:col>
      <xdr:colOff>542925</xdr:colOff>
      <xdr:row>41</xdr:row>
      <xdr:rowOff>71437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A40" workbookViewId="0">
      <selection activeCell="K51" sqref="K51"/>
    </sheetView>
  </sheetViews>
  <sheetFormatPr defaultRowHeight="14.4" x14ac:dyDescent="0.3"/>
  <cols>
    <col min="1" max="1" width="19.44140625" customWidth="1"/>
    <col min="2" max="2" width="14.6640625" customWidth="1"/>
    <col min="3" max="3" width="10.6640625" customWidth="1"/>
    <col min="4" max="4" width="19.33203125" customWidth="1"/>
  </cols>
  <sheetData>
    <row r="1" spans="1:5" x14ac:dyDescent="0.3">
      <c r="D1" t="s">
        <v>7</v>
      </c>
    </row>
    <row r="2" spans="1:5" x14ac:dyDescent="0.3">
      <c r="A2" t="s">
        <v>1</v>
      </c>
      <c r="B2" t="s">
        <v>2</v>
      </c>
      <c r="D2" t="s">
        <v>3</v>
      </c>
      <c r="E2" t="s">
        <v>0</v>
      </c>
    </row>
    <row r="3" spans="1:5" x14ac:dyDescent="0.3">
      <c r="A3">
        <v>40</v>
      </c>
      <c r="B3">
        <v>3.5249999999999997E-2</v>
      </c>
      <c r="D3">
        <v>400</v>
      </c>
      <c r="E3">
        <v>3.866E-2</v>
      </c>
    </row>
    <row r="4" spans="1:5" x14ac:dyDescent="0.3">
      <c r="A4">
        <v>38</v>
      </c>
      <c r="B4">
        <v>2.0729999999999998E-2</v>
      </c>
      <c r="D4">
        <v>5</v>
      </c>
      <c r="E4">
        <v>4.5399999999999998E-3</v>
      </c>
    </row>
    <row r="5" spans="1:5" x14ac:dyDescent="0.3">
      <c r="A5">
        <v>2</v>
      </c>
      <c r="B5">
        <v>2.4760000000000001E-2</v>
      </c>
      <c r="D5">
        <v>10</v>
      </c>
      <c r="E5">
        <v>8.8299999999999993E-3</v>
      </c>
    </row>
    <row r="6" spans="1:5" x14ac:dyDescent="0.3">
      <c r="A6">
        <v>4</v>
      </c>
      <c r="B6">
        <v>3.7699999999999997E-2</v>
      </c>
      <c r="D6">
        <v>15</v>
      </c>
      <c r="E6">
        <v>1.154E-2</v>
      </c>
    </row>
    <row r="7" spans="1:5" x14ac:dyDescent="0.3">
      <c r="A7">
        <v>6</v>
      </c>
      <c r="B7">
        <v>3.4610000000000002E-2</v>
      </c>
      <c r="D7">
        <v>20</v>
      </c>
      <c r="E7">
        <v>1.473E-2</v>
      </c>
    </row>
    <row r="8" spans="1:5" x14ac:dyDescent="0.3">
      <c r="A8">
        <v>8</v>
      </c>
      <c r="B8">
        <v>1.6279999999999999E-2</v>
      </c>
      <c r="D8">
        <v>50</v>
      </c>
      <c r="E8">
        <v>2.5319999999999999E-2</v>
      </c>
    </row>
    <row r="9" spans="1:5" x14ac:dyDescent="0.3">
      <c r="A9">
        <v>10</v>
      </c>
      <c r="B9">
        <v>1.4319999999999999E-2</v>
      </c>
      <c r="D9">
        <v>70</v>
      </c>
      <c r="E9">
        <v>2.8379999999999999E-2</v>
      </c>
    </row>
    <row r="10" spans="1:5" x14ac:dyDescent="0.3">
      <c r="A10">
        <v>12</v>
      </c>
      <c r="B10">
        <v>3.4639999999999997E-2</v>
      </c>
      <c r="D10">
        <v>60</v>
      </c>
      <c r="E10">
        <v>2.6970000000000001E-2</v>
      </c>
    </row>
    <row r="11" spans="1:5" x14ac:dyDescent="0.3">
      <c r="A11">
        <v>14</v>
      </c>
      <c r="B11">
        <v>4.0939999999999997E-2</v>
      </c>
      <c r="D11">
        <v>120</v>
      </c>
      <c r="E11">
        <v>3.2980000000000002E-2</v>
      </c>
    </row>
    <row r="12" spans="1:5" x14ac:dyDescent="0.3">
      <c r="A12">
        <v>16</v>
      </c>
      <c r="B12">
        <v>2.9270000000000001E-2</v>
      </c>
      <c r="D12">
        <v>180</v>
      </c>
      <c r="E12">
        <v>3.4889999999999997E-2</v>
      </c>
    </row>
    <row r="13" spans="1:5" x14ac:dyDescent="0.3">
      <c r="A13">
        <v>18</v>
      </c>
      <c r="B13">
        <v>7.4200000000000004E-3</v>
      </c>
      <c r="D13">
        <v>240</v>
      </c>
      <c r="E13">
        <v>3.5560000000000001E-2</v>
      </c>
    </row>
    <row r="14" spans="1:5" x14ac:dyDescent="0.3">
      <c r="A14">
        <v>20</v>
      </c>
      <c r="B14">
        <v>2.205E-2</v>
      </c>
      <c r="D14">
        <v>300</v>
      </c>
      <c r="E14">
        <v>3.6490000000000002E-2</v>
      </c>
    </row>
    <row r="15" spans="1:5" x14ac:dyDescent="0.3">
      <c r="A15">
        <v>22</v>
      </c>
      <c r="B15">
        <v>3.6670000000000001E-2</v>
      </c>
      <c r="D15">
        <v>350</v>
      </c>
      <c r="E15">
        <v>3.6630000000000003E-2</v>
      </c>
    </row>
    <row r="16" spans="1:5" x14ac:dyDescent="0.3">
      <c r="A16">
        <v>24</v>
      </c>
      <c r="B16">
        <v>3.4709999999999998E-2</v>
      </c>
      <c r="D16">
        <v>380</v>
      </c>
      <c r="E16">
        <v>3.7019999999999997E-2</v>
      </c>
    </row>
    <row r="17" spans="1:5" x14ac:dyDescent="0.3">
      <c r="A17">
        <v>26</v>
      </c>
      <c r="B17">
        <v>1.789E-2</v>
      </c>
      <c r="D17">
        <v>520</v>
      </c>
      <c r="E17">
        <v>3.9219999999999998E-2</v>
      </c>
    </row>
    <row r="18" spans="1:5" x14ac:dyDescent="0.3">
      <c r="A18">
        <v>28</v>
      </c>
      <c r="B18">
        <v>1.1860000000000001E-2</v>
      </c>
    </row>
    <row r="19" spans="1:5" x14ac:dyDescent="0.3">
      <c r="A19">
        <v>30</v>
      </c>
      <c r="B19">
        <v>2.9960000000000001E-2</v>
      </c>
    </row>
    <row r="20" spans="1:5" x14ac:dyDescent="0.3">
      <c r="A20">
        <v>32</v>
      </c>
      <c r="B20">
        <v>3.7940000000000002E-2</v>
      </c>
    </row>
    <row r="21" spans="1:5" x14ac:dyDescent="0.3">
      <c r="A21">
        <v>34</v>
      </c>
      <c r="B21">
        <v>2.879E-2</v>
      </c>
    </row>
    <row r="22" spans="1:5" x14ac:dyDescent="0.3">
      <c r="A22">
        <v>36</v>
      </c>
      <c r="B22">
        <v>1.0319999999999999E-2</v>
      </c>
    </row>
    <row r="25" spans="1:5" x14ac:dyDescent="0.3">
      <c r="A25" t="s">
        <v>6</v>
      </c>
    </row>
    <row r="26" spans="1:5" x14ac:dyDescent="0.3">
      <c r="A26" t="s">
        <v>4</v>
      </c>
      <c r="B26" t="s">
        <v>5</v>
      </c>
      <c r="C26" t="s">
        <v>0</v>
      </c>
    </row>
    <row r="27" spans="1:5" x14ac:dyDescent="0.3">
      <c r="A27">
        <v>0.1</v>
      </c>
      <c r="B27">
        <v>0.11</v>
      </c>
      <c r="C27">
        <v>5.176E-2</v>
      </c>
    </row>
    <row r="28" spans="1:5" x14ac:dyDescent="0.3">
      <c r="A28">
        <v>0.2</v>
      </c>
      <c r="B28">
        <v>0.21</v>
      </c>
      <c r="C28">
        <v>5.3449999999999998E-2</v>
      </c>
    </row>
    <row r="29" spans="1:5" x14ac:dyDescent="0.3">
      <c r="A29">
        <v>0.3</v>
      </c>
      <c r="B29">
        <v>0.31</v>
      </c>
      <c r="C29">
        <v>3.798E-2</v>
      </c>
    </row>
    <row r="30" spans="1:5" x14ac:dyDescent="0.3">
      <c r="A30">
        <v>0.4</v>
      </c>
      <c r="B30">
        <v>0.41</v>
      </c>
      <c r="C30">
        <v>3.3029999999999997E-2</v>
      </c>
    </row>
    <row r="31" spans="1:5" x14ac:dyDescent="0.3">
      <c r="A31">
        <v>0.5</v>
      </c>
      <c r="B31">
        <v>0.51</v>
      </c>
      <c r="C31">
        <v>2.928E-2</v>
      </c>
    </row>
    <row r="32" spans="1:5" x14ac:dyDescent="0.3">
      <c r="A32">
        <v>0.6</v>
      </c>
      <c r="B32">
        <v>0.61</v>
      </c>
      <c r="C32">
        <v>2.63E-2</v>
      </c>
    </row>
    <row r="33" spans="1:3" x14ac:dyDescent="0.3">
      <c r="A33">
        <v>0.7</v>
      </c>
      <c r="B33">
        <v>0.71</v>
      </c>
      <c r="C33">
        <v>2.3179999999999999E-2</v>
      </c>
    </row>
    <row r="34" spans="1:3" x14ac:dyDescent="0.3">
      <c r="A34">
        <v>0.8</v>
      </c>
      <c r="B34">
        <v>0.81</v>
      </c>
      <c r="C34">
        <v>2.0160000000000001E-2</v>
      </c>
    </row>
    <row r="35" spans="1:3" x14ac:dyDescent="0.3">
      <c r="A35">
        <v>0.9</v>
      </c>
      <c r="B35">
        <v>0.91</v>
      </c>
      <c r="C35">
        <v>1.8200000000000001E-2</v>
      </c>
    </row>
    <row r="36" spans="1:3" x14ac:dyDescent="0.3">
      <c r="A36">
        <v>1</v>
      </c>
      <c r="B36">
        <v>1.01</v>
      </c>
      <c r="C36">
        <v>1.6150000000000001E-2</v>
      </c>
    </row>
    <row r="37" spans="1:3" x14ac:dyDescent="0.3">
      <c r="A37">
        <v>1.1000000000000001</v>
      </c>
      <c r="B37">
        <v>1.1100000000000001</v>
      </c>
      <c r="C37">
        <v>1.456E-2</v>
      </c>
    </row>
    <row r="38" spans="1:3" x14ac:dyDescent="0.3">
      <c r="A38">
        <v>1.4</v>
      </c>
      <c r="B38">
        <v>1.41</v>
      </c>
      <c r="C38">
        <v>1.042E-2</v>
      </c>
    </row>
    <row r="39" spans="1:3" x14ac:dyDescent="0.3">
      <c r="A39">
        <v>2</v>
      </c>
      <c r="B39">
        <v>2.0099999999999998</v>
      </c>
      <c r="C39">
        <v>5.9899999999999997E-3</v>
      </c>
    </row>
    <row r="40" spans="1:3" x14ac:dyDescent="0.3">
      <c r="A40">
        <v>2.5</v>
      </c>
      <c r="B40">
        <v>2.5099999999999998</v>
      </c>
      <c r="C40">
        <v>3.82E-3</v>
      </c>
    </row>
    <row r="41" spans="1:3" x14ac:dyDescent="0.3">
      <c r="A41">
        <v>3</v>
      </c>
      <c r="B41">
        <v>3.01</v>
      </c>
      <c r="C41">
        <v>2.2200000000000002E-3</v>
      </c>
    </row>
    <row r="42" spans="1:3" x14ac:dyDescent="0.3">
      <c r="A42">
        <v>3.5</v>
      </c>
      <c r="B42">
        <v>3.51</v>
      </c>
      <c r="C42">
        <v>1.7899999999999999E-3</v>
      </c>
    </row>
    <row r="43" spans="1:3" x14ac:dyDescent="0.3">
      <c r="A43">
        <v>4</v>
      </c>
      <c r="B43">
        <v>4.01</v>
      </c>
      <c r="C43">
        <v>1.4E-3</v>
      </c>
    </row>
    <row r="44" spans="1:3" x14ac:dyDescent="0.3">
      <c r="A44">
        <v>5</v>
      </c>
      <c r="B44">
        <v>5.01</v>
      </c>
      <c r="C44">
        <v>8.0000000000000004E-4</v>
      </c>
    </row>
    <row r="46" spans="1:3" x14ac:dyDescent="0.3">
      <c r="B46" t="s">
        <v>8</v>
      </c>
    </row>
    <row r="47" spans="1:3" x14ac:dyDescent="0.3">
      <c r="B47" s="1">
        <f>18.307/42.51299</f>
        <v>0.43062132303561801</v>
      </c>
    </row>
    <row r="49" spans="1:3" x14ac:dyDescent="0.3">
      <c r="B49" t="s">
        <v>9</v>
      </c>
    </row>
    <row r="50" spans="1:3" x14ac:dyDescent="0.3">
      <c r="B50" s="2">
        <f>0.344/267.11</f>
        <v>1.2878589345213581E-3</v>
      </c>
    </row>
    <row r="52" spans="1:3" x14ac:dyDescent="0.3">
      <c r="A52" t="s">
        <v>10</v>
      </c>
    </row>
    <row r="53" spans="1:3" x14ac:dyDescent="0.3">
      <c r="A53" t="s">
        <v>11</v>
      </c>
      <c r="B53" t="s">
        <v>12</v>
      </c>
      <c r="C53" t="s">
        <v>13</v>
      </c>
    </row>
    <row r="54" spans="1:3" x14ac:dyDescent="0.3">
      <c r="A54">
        <v>2</v>
      </c>
      <c r="B54" s="4">
        <f>1/SQRT(A54)</f>
        <v>0.70710678118654746</v>
      </c>
      <c r="C54" s="3">
        <v>2.1742500000000001E-4</v>
      </c>
    </row>
    <row r="55" spans="1:3" x14ac:dyDescent="0.3">
      <c r="A55">
        <v>4</v>
      </c>
      <c r="B55" s="4">
        <f t="shared" ref="B55:B61" si="0">1/SQRT(A55)</f>
        <v>0.5</v>
      </c>
      <c r="C55" s="3">
        <v>1.45935E-4</v>
      </c>
    </row>
    <row r="56" spans="1:3" x14ac:dyDescent="0.3">
      <c r="A56">
        <v>8</v>
      </c>
      <c r="B56" s="4">
        <f t="shared" si="0"/>
        <v>0.35355339059327373</v>
      </c>
      <c r="C56" s="3">
        <v>1.06135E-4</v>
      </c>
    </row>
    <row r="57" spans="1:3" x14ac:dyDescent="0.3">
      <c r="A57">
        <v>16</v>
      </c>
      <c r="B57" s="4">
        <f t="shared" si="0"/>
        <v>0.25</v>
      </c>
      <c r="C57" s="3">
        <v>7.2517799999999999E-5</v>
      </c>
    </row>
    <row r="58" spans="1:3" x14ac:dyDescent="0.3">
      <c r="A58">
        <v>23</v>
      </c>
      <c r="B58" s="4">
        <f t="shared" si="0"/>
        <v>0.20851441405707477</v>
      </c>
      <c r="C58" s="3">
        <v>6.2044000000000004E-5</v>
      </c>
    </row>
    <row r="59" spans="1:3" x14ac:dyDescent="0.3">
      <c r="A59">
        <v>64</v>
      </c>
      <c r="B59" s="4">
        <f t="shared" si="0"/>
        <v>0.125</v>
      </c>
      <c r="C59" s="3">
        <v>3.9325E-5</v>
      </c>
    </row>
    <row r="60" spans="1:3" x14ac:dyDescent="0.3">
      <c r="A60">
        <v>128</v>
      </c>
      <c r="B60" s="4">
        <f t="shared" si="0"/>
        <v>8.8388347648318433E-2</v>
      </c>
      <c r="C60" s="3">
        <v>2.75322E-5</v>
      </c>
    </row>
    <row r="61" spans="1:3" x14ac:dyDescent="0.3">
      <c r="A61">
        <v>256</v>
      </c>
      <c r="B61" s="4">
        <f t="shared" si="0"/>
        <v>6.25E-2</v>
      </c>
      <c r="C61" s="3">
        <v>1.8377599999999998E-5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Jonáš Venc</cp:lastModifiedBy>
  <dcterms:created xsi:type="dcterms:W3CDTF">2025-10-29T09:10:13Z</dcterms:created>
  <dcterms:modified xsi:type="dcterms:W3CDTF">2025-10-29T22:36:46Z</dcterms:modified>
</cp:coreProperties>
</file>