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ocuments\Praktikum-IV\A21 - rentgen - kopie\"/>
    </mc:Choice>
  </mc:AlternateContent>
  <xr:revisionPtr revIDLastSave="0" documentId="13_ncr:1_{BCF08714-37AB-489B-918E-9A08D2C7FFD1}" xr6:coauthVersionLast="47" xr6:coauthVersionMax="47" xr10:uidLastSave="{00000000-0000-0000-0000-000000000000}"/>
  <bookViews>
    <workbookView xWindow="-108" yWindow="-108" windowWidth="23256" windowHeight="12456" xr2:uid="{B8DF00CB-DCF1-4C1A-ABA1-0DE29D1463BD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F42" i="1"/>
  <c r="F41" i="1"/>
  <c r="E37" i="1"/>
  <c r="E36" i="1"/>
  <c r="D37" i="1"/>
  <c r="D36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12" i="1"/>
  <c r="F29" i="1"/>
  <c r="F28" i="1"/>
  <c r="F17" i="1"/>
  <c r="F16" i="1"/>
  <c r="D17" i="1"/>
  <c r="D16" i="1"/>
  <c r="D31" i="1"/>
  <c r="F31" i="1" s="1"/>
  <c r="D30" i="1"/>
  <c r="F30" i="1" s="1"/>
  <c r="D19" i="1"/>
  <c r="F19" i="1" s="1"/>
  <c r="D20" i="1"/>
  <c r="F20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27" i="1"/>
  <c r="F27" i="1" s="1"/>
  <c r="D28" i="1"/>
  <c r="D29" i="1"/>
  <c r="D13" i="1"/>
  <c r="F13" i="1" s="1"/>
  <c r="D14" i="1"/>
  <c r="F14" i="1" s="1"/>
  <c r="D15" i="1"/>
  <c r="F15" i="1" s="1"/>
  <c r="D18" i="1"/>
  <c r="F18" i="1" s="1"/>
  <c r="D12" i="1"/>
  <c r="F12" i="1" s="1"/>
  <c r="G5" i="1"/>
  <c r="E6" i="1"/>
  <c r="E7" i="1"/>
  <c r="E8" i="1"/>
  <c r="E5" i="1"/>
</calcChain>
</file>

<file path=xl/sharedStrings.xml><?xml version="1.0" encoding="utf-8"?>
<sst xmlns="http://schemas.openxmlformats.org/spreadsheetml/2006/main" count="50" uniqueCount="38">
  <si>
    <t>Fitování lineárních grafů 1. úkolu</t>
  </si>
  <si>
    <t>a</t>
  </si>
  <si>
    <t>b</t>
  </si>
  <si>
    <t>y=0, x</t>
  </si>
  <si>
    <t>h</t>
  </si>
  <si>
    <t>U / V</t>
  </si>
  <si>
    <t>Použité materiály</t>
  </si>
  <si>
    <t>Typ přechodu</t>
  </si>
  <si>
    <t>lambda / pm</t>
  </si>
  <si>
    <t>Úhel detektoru / °</t>
  </si>
  <si>
    <t>Úhel svazku / °</t>
  </si>
  <si>
    <t>Cu 15 kV</t>
  </si>
  <si>
    <t>K_\beta, n=1</t>
  </si>
  <si>
    <t>K_\alpha, n=1</t>
  </si>
  <si>
    <t>Cu 33 kV</t>
  </si>
  <si>
    <t>Cu 33 kV, Zr</t>
  </si>
  <si>
    <t>Cu 33 kV, Ni</t>
  </si>
  <si>
    <t>Fe 33 kV</t>
  </si>
  <si>
    <t>Fe 33 kV, Zr</t>
  </si>
  <si>
    <t>Mo 33 kV</t>
  </si>
  <si>
    <t>K_beta, n=1</t>
  </si>
  <si>
    <t>K_alpha, n=1</t>
  </si>
  <si>
    <t>K_alpha, n=2</t>
  </si>
  <si>
    <t>K_beta, n=2</t>
  </si>
  <si>
    <t>Zr</t>
  </si>
  <si>
    <t>Ni</t>
  </si>
  <si>
    <t>lambda_teor / pm</t>
  </si>
  <si>
    <t>1/sqrt(lambda)</t>
  </si>
  <si>
    <t>a / 10^{-3} pm^{-1/2}</t>
  </si>
  <si>
    <t>b / 10^{-3} pm^{-1/2}</t>
  </si>
  <si>
    <t>s</t>
  </si>
  <si>
    <t>R_\omega / 10^{16} s^{-1}</t>
  </si>
  <si>
    <t>\theta_1 / °</t>
  </si>
  <si>
    <t>\theta_2 / °</t>
  </si>
  <si>
    <t>\lambda_1</t>
  </si>
  <si>
    <t>\lambda_2</t>
  </si>
  <si>
    <t>řád</t>
  </si>
  <si>
    <t>dtheta/dlambda / mm^(-1)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</si>
</sst>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7" fontId="0" fillId="0" borderId="0" xfId="0" applyNumberFormat="1"/>
    <xf numFmtId="11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1BA6-80FA-438B-B425-C6D36BB24D85}">
  <dimension ref="A3:H42"/>
  <sheetViews>
    <sheetView tabSelected="1" workbookViewId="0">
      <selection activeCell="H5" sqref="H5"/>
    </sheetView>
  </sheetViews>
  <sheetFormatPr defaultRowHeight="14.4" x14ac:dyDescent="0.3"/>
  <cols>
    <col min="2" max="2" width="19" customWidth="1"/>
    <col min="3" max="3" width="18" customWidth="1"/>
    <col min="4" max="4" width="25" customWidth="1"/>
    <col min="5" max="5" width="18.5546875" customWidth="1"/>
    <col min="6" max="6" width="10.88671875" customWidth="1"/>
    <col min="7" max="7" width="15.6640625" customWidth="1"/>
    <col min="8" max="8" width="12" bestFit="1" customWidth="1"/>
  </cols>
  <sheetData>
    <row r="3" spans="2:8" x14ac:dyDescent="0.3">
      <c r="B3" t="s">
        <v>0</v>
      </c>
    </row>
    <row r="4" spans="2:8" x14ac:dyDescent="0.3">
      <c r="B4" t="s">
        <v>1</v>
      </c>
      <c r="D4" t="s">
        <v>2</v>
      </c>
      <c r="E4" t="s">
        <v>3</v>
      </c>
      <c r="F4" t="s">
        <v>5</v>
      </c>
      <c r="H4" t="s">
        <v>4</v>
      </c>
    </row>
    <row r="5" spans="2:8" x14ac:dyDescent="0.3">
      <c r="B5">
        <v>-372.9</v>
      </c>
      <c r="D5">
        <v>16.5</v>
      </c>
      <c r="E5">
        <f>-B5/D5</f>
        <v>22.599999999999998</v>
      </c>
      <c r="F5">
        <v>15000</v>
      </c>
      <c r="G5">
        <f>3.75*10^(-4)</f>
        <v>3.7500000000000001E-4</v>
      </c>
      <c r="H5">
        <f>(1.602*10^(-19)*2*G5*201.4*10^(-5))/(299792458)</f>
        <v>8.071654024064876E-34</v>
      </c>
    </row>
    <row r="6" spans="2:8" x14ac:dyDescent="0.3">
      <c r="B6">
        <v>-391.6</v>
      </c>
      <c r="D6">
        <v>31.6</v>
      </c>
      <c r="E6">
        <f t="shared" ref="E6:E8" si="0">-B6/D6</f>
        <v>12.39240506329114</v>
      </c>
      <c r="F6">
        <v>25000</v>
      </c>
    </row>
    <row r="7" spans="2:8" x14ac:dyDescent="0.3">
      <c r="B7">
        <v>-533.4</v>
      </c>
      <c r="D7">
        <v>52.7</v>
      </c>
      <c r="E7">
        <f t="shared" si="0"/>
        <v>10.121442125237191</v>
      </c>
      <c r="F7">
        <v>30000</v>
      </c>
    </row>
    <row r="8" spans="2:8" x14ac:dyDescent="0.3">
      <c r="B8">
        <v>-629.70000000000005</v>
      </c>
      <c r="D8">
        <v>69.099999999999994</v>
      </c>
      <c r="E8">
        <f t="shared" si="0"/>
        <v>9.1128798842257606</v>
      </c>
      <c r="F8">
        <v>33000</v>
      </c>
    </row>
    <row r="11" spans="2:8" x14ac:dyDescent="0.3">
      <c r="B11" t="s">
        <v>6</v>
      </c>
      <c r="C11" t="s">
        <v>9</v>
      </c>
      <c r="D11" t="s">
        <v>10</v>
      </c>
      <c r="E11" t="s">
        <v>7</v>
      </c>
      <c r="F11" t="s">
        <v>8</v>
      </c>
      <c r="G11" t="s">
        <v>26</v>
      </c>
      <c r="H11" t="s">
        <v>27</v>
      </c>
    </row>
    <row r="12" spans="2:8" x14ac:dyDescent="0.3">
      <c r="B12" t="s">
        <v>11</v>
      </c>
      <c r="C12">
        <v>39.799999999999997</v>
      </c>
      <c r="D12">
        <f>C12/2</f>
        <v>19.899999999999999</v>
      </c>
      <c r="E12" t="s">
        <v>12</v>
      </c>
      <c r="F12" s="2">
        <f>2*201.4*SIN(D12*0.0174532925)</f>
        <v>137.10488267550221</v>
      </c>
      <c r="G12">
        <v>140.4</v>
      </c>
      <c r="H12">
        <f>1/SQRT(F12)</f>
        <v>8.5403081136830428E-2</v>
      </c>
    </row>
    <row r="13" spans="2:8" x14ac:dyDescent="0.3">
      <c r="C13">
        <v>44.4</v>
      </c>
      <c r="D13">
        <f t="shared" ref="D13:D31" si="1">C13/2</f>
        <v>22.2</v>
      </c>
      <c r="E13" t="s">
        <v>13</v>
      </c>
      <c r="F13" s="2">
        <f t="shared" ref="F13:F31" si="2">2*201.4*SIN(D13*0.0174532925)</f>
        <v>152.19426876536235</v>
      </c>
      <c r="G13">
        <v>154.1</v>
      </c>
      <c r="H13">
        <f t="shared" ref="H13:H31" si="3">1/SQRT(F13)</f>
        <v>8.1058927047863744E-2</v>
      </c>
    </row>
    <row r="14" spans="2:8" x14ac:dyDescent="0.3">
      <c r="B14" t="s">
        <v>14</v>
      </c>
      <c r="C14">
        <v>39.799999999999997</v>
      </c>
      <c r="D14">
        <f t="shared" si="1"/>
        <v>19.899999999999999</v>
      </c>
      <c r="E14" t="s">
        <v>20</v>
      </c>
      <c r="F14" s="2">
        <f t="shared" si="2"/>
        <v>137.10488267550221</v>
      </c>
      <c r="H14">
        <f t="shared" si="3"/>
        <v>8.5403081136830428E-2</v>
      </c>
    </row>
    <row r="15" spans="2:8" x14ac:dyDescent="0.3">
      <c r="C15">
        <v>44.2</v>
      </c>
      <c r="D15">
        <f t="shared" si="1"/>
        <v>22.1</v>
      </c>
      <c r="E15" t="s">
        <v>21</v>
      </c>
      <c r="F15" s="2">
        <f t="shared" si="2"/>
        <v>151.54313302804721</v>
      </c>
      <c r="H15">
        <f t="shared" si="3"/>
        <v>8.1232883430024966E-2</v>
      </c>
    </row>
    <row r="16" spans="2:8" x14ac:dyDescent="0.3">
      <c r="C16">
        <v>86.6</v>
      </c>
      <c r="D16">
        <f t="shared" si="1"/>
        <v>43.3</v>
      </c>
      <c r="E16" t="s">
        <v>23</v>
      </c>
      <c r="F16" s="2">
        <f>2*201.4*SIN(D16*0.0174532925)/2</f>
        <v>138.12381615300086</v>
      </c>
      <c r="G16">
        <v>139.6</v>
      </c>
      <c r="H16">
        <f t="shared" si="3"/>
        <v>8.5087490598633714E-2</v>
      </c>
    </row>
    <row r="17" spans="2:8" x14ac:dyDescent="0.3">
      <c r="C17">
        <v>99.1</v>
      </c>
      <c r="D17">
        <f t="shared" si="1"/>
        <v>49.55</v>
      </c>
      <c r="E17" t="s">
        <v>22</v>
      </c>
      <c r="F17" s="2">
        <f>2*201.4*SIN(D17*0.0174532925)/2</f>
        <v>153.25984653277058</v>
      </c>
      <c r="G17">
        <v>154.9</v>
      </c>
      <c r="H17">
        <f t="shared" si="3"/>
        <v>8.0776644206137435E-2</v>
      </c>
    </row>
    <row r="18" spans="2:8" x14ac:dyDescent="0.3">
      <c r="B18" t="s">
        <v>15</v>
      </c>
      <c r="C18">
        <v>39.799999999999997</v>
      </c>
      <c r="D18">
        <f t="shared" si="1"/>
        <v>19.899999999999999</v>
      </c>
      <c r="E18" t="s">
        <v>20</v>
      </c>
      <c r="F18" s="2">
        <f t="shared" si="2"/>
        <v>137.10488267550221</v>
      </c>
      <c r="H18">
        <f t="shared" si="3"/>
        <v>8.5403081136830428E-2</v>
      </c>
    </row>
    <row r="19" spans="2:8" x14ac:dyDescent="0.3">
      <c r="C19">
        <v>44.4</v>
      </c>
      <c r="D19">
        <f t="shared" si="1"/>
        <v>22.2</v>
      </c>
      <c r="E19" t="s">
        <v>21</v>
      </c>
      <c r="F19" s="2">
        <f t="shared" si="2"/>
        <v>152.19426876536235</v>
      </c>
      <c r="H19">
        <f t="shared" si="3"/>
        <v>8.1058927047863744E-2</v>
      </c>
    </row>
    <row r="20" spans="2:8" x14ac:dyDescent="0.3">
      <c r="B20" t="s">
        <v>16</v>
      </c>
      <c r="C20">
        <v>39.799999999999997</v>
      </c>
      <c r="D20">
        <f t="shared" si="1"/>
        <v>19.899999999999999</v>
      </c>
      <c r="E20" t="s">
        <v>20</v>
      </c>
      <c r="F20" s="2">
        <f t="shared" si="2"/>
        <v>137.10488267550221</v>
      </c>
      <c r="H20">
        <f t="shared" si="3"/>
        <v>8.5403081136830428E-2</v>
      </c>
    </row>
    <row r="21" spans="2:8" x14ac:dyDescent="0.3">
      <c r="C21">
        <v>44.4</v>
      </c>
      <c r="D21">
        <f t="shared" si="1"/>
        <v>22.2</v>
      </c>
      <c r="E21" t="s">
        <v>21</v>
      </c>
      <c r="F21" s="2">
        <f t="shared" si="2"/>
        <v>152.19426876536235</v>
      </c>
      <c r="H21">
        <f t="shared" si="3"/>
        <v>8.1058927047863744E-2</v>
      </c>
    </row>
    <row r="22" spans="2:8" x14ac:dyDescent="0.3">
      <c r="B22" t="s">
        <v>17</v>
      </c>
      <c r="C22">
        <v>51.6</v>
      </c>
      <c r="D22">
        <f t="shared" si="1"/>
        <v>25.8</v>
      </c>
      <c r="E22" t="s">
        <v>20</v>
      </c>
      <c r="F22" s="2">
        <f t="shared" si="2"/>
        <v>175.31108664057749</v>
      </c>
      <c r="G22">
        <v>175.3</v>
      </c>
      <c r="H22">
        <f t="shared" si="3"/>
        <v>7.5525795647888166E-2</v>
      </c>
    </row>
    <row r="23" spans="2:8" x14ac:dyDescent="0.3">
      <c r="C23">
        <v>57.2</v>
      </c>
      <c r="D23">
        <f t="shared" si="1"/>
        <v>28.6</v>
      </c>
      <c r="E23" t="s">
        <v>21</v>
      </c>
      <c r="F23" s="2">
        <f t="shared" si="2"/>
        <v>192.81708017676124</v>
      </c>
      <c r="G23">
        <v>194.7</v>
      </c>
      <c r="H23">
        <f t="shared" si="3"/>
        <v>7.2015710369590563E-2</v>
      </c>
    </row>
    <row r="24" spans="2:8" x14ac:dyDescent="0.3">
      <c r="B24" t="s">
        <v>18</v>
      </c>
      <c r="C24">
        <v>51.4</v>
      </c>
      <c r="D24">
        <f t="shared" si="1"/>
        <v>25.7</v>
      </c>
      <c r="E24" t="s">
        <v>20</v>
      </c>
      <c r="F24" s="2">
        <f t="shared" si="2"/>
        <v>174.6778790858335</v>
      </c>
      <c r="H24">
        <f t="shared" si="3"/>
        <v>7.566256237227606E-2</v>
      </c>
    </row>
    <row r="25" spans="2:8" x14ac:dyDescent="0.3">
      <c r="C25">
        <v>57.2</v>
      </c>
      <c r="D25">
        <f t="shared" si="1"/>
        <v>28.6</v>
      </c>
      <c r="E25" t="s">
        <v>21</v>
      </c>
      <c r="F25" s="2">
        <f t="shared" si="2"/>
        <v>192.81708017676124</v>
      </c>
      <c r="H25">
        <f t="shared" si="3"/>
        <v>7.2015710369590563E-2</v>
      </c>
    </row>
    <row r="26" spans="2:8" x14ac:dyDescent="0.3">
      <c r="B26" t="s">
        <v>19</v>
      </c>
      <c r="C26">
        <v>17.399999999999999</v>
      </c>
      <c r="D26">
        <f t="shared" si="1"/>
        <v>8.6999999999999993</v>
      </c>
      <c r="E26" t="s">
        <v>20</v>
      </c>
      <c r="F26" s="2">
        <f t="shared" si="2"/>
        <v>60.927858326495546</v>
      </c>
      <c r="G26">
        <v>64.400000000000006</v>
      </c>
      <c r="H26">
        <f t="shared" si="3"/>
        <v>0.12811265858695886</v>
      </c>
    </row>
    <row r="27" spans="2:8" x14ac:dyDescent="0.3">
      <c r="C27">
        <v>19.600000000000001</v>
      </c>
      <c r="D27">
        <f t="shared" si="1"/>
        <v>9.8000000000000007</v>
      </c>
      <c r="E27" t="s">
        <v>21</v>
      </c>
      <c r="F27" s="2">
        <f t="shared" si="2"/>
        <v>68.560386186501702</v>
      </c>
      <c r="G27">
        <v>70.400000000000006</v>
      </c>
      <c r="H27">
        <f t="shared" si="3"/>
        <v>0.12077119745804396</v>
      </c>
    </row>
    <row r="28" spans="2:8" x14ac:dyDescent="0.3">
      <c r="C28">
        <v>35.5</v>
      </c>
      <c r="D28">
        <f t="shared" si="1"/>
        <v>17.75</v>
      </c>
      <c r="E28" t="s">
        <v>23</v>
      </c>
      <c r="F28" s="2">
        <f>2*201.4*SIN(D28*0.0174532925)/2</f>
        <v>61.399669756340984</v>
      </c>
      <c r="G28">
        <v>63.9</v>
      </c>
      <c r="H28">
        <f t="shared" si="3"/>
        <v>0.12761948342760282</v>
      </c>
    </row>
    <row r="29" spans="2:8" x14ac:dyDescent="0.3">
      <c r="C29">
        <v>40.5</v>
      </c>
      <c r="D29">
        <f t="shared" si="1"/>
        <v>20.25</v>
      </c>
      <c r="E29" t="s">
        <v>22</v>
      </c>
      <c r="F29" s="2">
        <f>2*201.4*SIN(D29*0.0174532925)/2</f>
        <v>69.7079752190986</v>
      </c>
      <c r="G29">
        <v>71.2</v>
      </c>
      <c r="H29">
        <f t="shared" si="3"/>
        <v>0.11977295540570206</v>
      </c>
    </row>
    <row r="30" spans="2:8" x14ac:dyDescent="0.3">
      <c r="B30" t="s">
        <v>24</v>
      </c>
      <c r="C30">
        <v>19.399999999999999</v>
      </c>
      <c r="D30">
        <f t="shared" si="1"/>
        <v>9.6999999999999993</v>
      </c>
      <c r="F30" s="2">
        <f t="shared" si="2"/>
        <v>67.867522011975396</v>
      </c>
      <c r="H30">
        <f t="shared" si="3"/>
        <v>0.12138611272327374</v>
      </c>
    </row>
    <row r="31" spans="2:8" x14ac:dyDescent="0.3">
      <c r="B31" t="s">
        <v>25</v>
      </c>
      <c r="C31">
        <v>39.799999999999997</v>
      </c>
      <c r="D31">
        <f t="shared" si="1"/>
        <v>19.899999999999999</v>
      </c>
      <c r="F31" s="2">
        <f t="shared" si="2"/>
        <v>137.10488267550221</v>
      </c>
      <c r="H31">
        <f t="shared" si="3"/>
        <v>8.5403081136830428E-2</v>
      </c>
    </row>
    <row r="35" spans="1:6" x14ac:dyDescent="0.3">
      <c r="B35" t="s">
        <v>28</v>
      </c>
      <c r="C35" t="s">
        <v>29</v>
      </c>
      <c r="D35" t="s">
        <v>31</v>
      </c>
      <c r="E35" t="s">
        <v>30</v>
      </c>
    </row>
    <row r="36" spans="1:6" x14ac:dyDescent="0.3">
      <c r="B36">
        <v>3</v>
      </c>
      <c r="C36">
        <v>-6.22</v>
      </c>
      <c r="D36" s="3">
        <f>B36^2*8*PI()*299792458/3/10^(16)</f>
        <v>2.2603818807706237E-6</v>
      </c>
      <c r="E36" s="1">
        <f>-C36/B36</f>
        <v>2.0733333333333333</v>
      </c>
    </row>
    <row r="37" spans="1:6" x14ac:dyDescent="0.3">
      <c r="B37">
        <v>3.27</v>
      </c>
      <c r="C37">
        <v>-9.7899999999999991</v>
      </c>
      <c r="D37" s="3">
        <f>B37^2*8*PI()*299792458/3/10^(16)</f>
        <v>2.6855597125435789E-6</v>
      </c>
      <c r="E37" s="1">
        <f>-C37/B37</f>
        <v>2.9938837920489294</v>
      </c>
    </row>
    <row r="40" spans="1:6" x14ac:dyDescent="0.3">
      <c r="A40" t="s">
        <v>36</v>
      </c>
      <c r="B40" t="s">
        <v>32</v>
      </c>
      <c r="C40" t="s">
        <v>33</v>
      </c>
      <c r="D40" t="s">
        <v>34</v>
      </c>
      <c r="E40" t="s">
        <v>35</v>
      </c>
      <c r="F40" t="s">
        <v>37</v>
      </c>
    </row>
    <row r="41" spans="1:6" x14ac:dyDescent="0.3">
      <c r="A41">
        <v>1</v>
      </c>
      <c r="B41">
        <v>10.3</v>
      </c>
      <c r="C41">
        <v>9.1999999999999993</v>
      </c>
      <c r="D41">
        <v>70.400000000000006</v>
      </c>
      <c r="E41">
        <v>64.400000000000006</v>
      </c>
      <c r="F41" s="1">
        <f>A41/(2*201.4*10^(-3)*COS(((B41+C41)/2)*0.0174532925))</f>
        <v>2.5190060226006143</v>
      </c>
    </row>
    <row r="42" spans="1:6" x14ac:dyDescent="0.3">
      <c r="A42">
        <v>2</v>
      </c>
      <c r="B42">
        <v>25.25</v>
      </c>
      <c r="C42">
        <v>22.75</v>
      </c>
      <c r="D42">
        <v>71.2</v>
      </c>
      <c r="E42">
        <v>63.9</v>
      </c>
      <c r="F42" s="1">
        <f>A42/(2*201.4*10^(-3)*COS(((B42+C42)/2)*0.0174532925))</f>
        <v>5.4351354432610499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Jonáš Venc</dc:creator>
  <cp:lastModifiedBy>Jonáš Venc</cp:lastModifiedBy>
  <dcterms:created xsi:type="dcterms:W3CDTF">2025-10-23T13:12:21Z</dcterms:created>
  <dcterms:modified xsi:type="dcterms:W3CDTF">2025-10-28T21:57:24Z</dcterms:modified>
</cp:coreProperties>
</file>