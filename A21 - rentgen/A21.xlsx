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ocuments\Praktikum-IV\A21 - rentgen\"/>
    </mc:Choice>
  </mc:AlternateContent>
  <xr:revisionPtr revIDLastSave="0" documentId="13_ncr:1_{EB76D16A-D3BD-41B9-9F33-8A8451C0FD3B}" xr6:coauthVersionLast="47" xr6:coauthVersionMax="47" xr10:uidLastSave="{00000000-0000-0000-0000-000000000000}"/>
  <bookViews>
    <workbookView xWindow="-108" yWindow="-108" windowWidth="23256" windowHeight="12456" xr2:uid="{B8DF00CB-DCF1-4C1A-ABA1-0DE29D1463B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8" i="1"/>
  <c r="D19" i="1"/>
  <c r="D20" i="1"/>
  <c r="D21" i="1"/>
  <c r="D22" i="1"/>
  <c r="D23" i="1"/>
  <c r="D24" i="1"/>
  <c r="D25" i="1"/>
  <c r="D26" i="1"/>
  <c r="D27" i="1"/>
  <c r="D13" i="1"/>
  <c r="D14" i="1"/>
  <c r="D15" i="1"/>
  <c r="D16" i="1"/>
  <c r="D12" i="1"/>
  <c r="G5" i="1"/>
  <c r="H5" i="1" s="1"/>
  <c r="E6" i="1"/>
  <c r="E7" i="1"/>
  <c r="E8" i="1"/>
  <c r="E5" i="1"/>
</calcChain>
</file>

<file path=xl/sharedStrings.xml><?xml version="1.0" encoding="utf-8"?>
<sst xmlns="http://schemas.openxmlformats.org/spreadsheetml/2006/main" count="20" uniqueCount="20">
  <si>
    <t>Fitování lineárních grafů 1. úkolu</t>
  </si>
  <si>
    <t>a</t>
  </si>
  <si>
    <t>b</t>
  </si>
  <si>
    <t>y=0, x</t>
  </si>
  <si>
    <t>h</t>
  </si>
  <si>
    <t>U / V</t>
  </si>
  <si>
    <t>Použité materiály</t>
  </si>
  <si>
    <t>Typ přechodu</t>
  </si>
  <si>
    <t>lambda / pm</t>
  </si>
  <si>
    <t>Úhel detektoru / °</t>
  </si>
  <si>
    <t>Úhel svazku / °</t>
  </si>
  <si>
    <t>Cu 15 kV</t>
  </si>
  <si>
    <t>K_\beta, n=1</t>
  </si>
  <si>
    <t>K_\alpha, n=1</t>
  </si>
  <si>
    <t>Cu 33 kV</t>
  </si>
  <si>
    <t>Cu 33 kV, Zr</t>
  </si>
  <si>
    <t>Cu 33 kV, Ni</t>
  </si>
  <si>
    <t>Fe 33 kV</t>
  </si>
  <si>
    <t>Fe 33 kV, Zr</t>
  </si>
  <si>
    <t>Mo 33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</si>
</sst>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1BA6-80FA-438B-B425-C6D36BB24D85}">
  <dimension ref="B3:H27"/>
  <sheetViews>
    <sheetView tabSelected="1" workbookViewId="0">
      <selection activeCell="E34" sqref="E34"/>
    </sheetView>
  </sheetViews>
  <sheetFormatPr defaultRowHeight="14.4" x14ac:dyDescent="0.3"/>
  <cols>
    <col min="2" max="3" width="16.109375" customWidth="1"/>
    <col min="4" max="4" width="14.77734375" customWidth="1"/>
    <col min="5" max="5" width="18.5546875" customWidth="1"/>
    <col min="6" max="6" width="10.88671875" customWidth="1"/>
    <col min="8" max="8" width="12" bestFit="1" customWidth="1"/>
  </cols>
  <sheetData>
    <row r="3" spans="2:8" x14ac:dyDescent="0.3">
      <c r="B3" t="s">
        <v>0</v>
      </c>
    </row>
    <row r="4" spans="2:8" x14ac:dyDescent="0.3">
      <c r="B4" t="s">
        <v>1</v>
      </c>
      <c r="D4" t="s">
        <v>2</v>
      </c>
      <c r="E4" t="s">
        <v>3</v>
      </c>
      <c r="F4" t="s">
        <v>5</v>
      </c>
      <c r="H4" t="s">
        <v>4</v>
      </c>
    </row>
    <row r="5" spans="2:8" x14ac:dyDescent="0.3">
      <c r="B5">
        <v>-372.9</v>
      </c>
      <c r="D5">
        <v>16.5</v>
      </c>
      <c r="E5">
        <f>-B5/D5</f>
        <v>22.599999999999998</v>
      </c>
      <c r="F5">
        <v>15000</v>
      </c>
      <c r="G5">
        <f>3.75*10^(-4)</f>
        <v>3.7500000000000001E-4</v>
      </c>
      <c r="H5">
        <f>(1.602*10^(-19)*2*G5)/(299792458)</f>
        <v>4.0077726038057973E-31</v>
      </c>
    </row>
    <row r="6" spans="2:8" x14ac:dyDescent="0.3">
      <c r="B6">
        <v>-391.6</v>
      </c>
      <c r="D6">
        <v>31.6</v>
      </c>
      <c r="E6">
        <f t="shared" ref="E6:E8" si="0">-B6/D6</f>
        <v>12.39240506329114</v>
      </c>
      <c r="F6">
        <v>25000</v>
      </c>
    </row>
    <row r="7" spans="2:8" x14ac:dyDescent="0.3">
      <c r="B7">
        <v>-533.4</v>
      </c>
      <c r="D7">
        <v>52.7</v>
      </c>
      <c r="E7">
        <f t="shared" si="0"/>
        <v>10.121442125237191</v>
      </c>
      <c r="F7">
        <v>30000</v>
      </c>
    </row>
    <row r="8" spans="2:8" x14ac:dyDescent="0.3">
      <c r="B8">
        <v>-629.70000000000005</v>
      </c>
      <c r="D8">
        <v>69.099999999999994</v>
      </c>
      <c r="E8">
        <f t="shared" si="0"/>
        <v>9.1128798842257606</v>
      </c>
      <c r="F8">
        <v>33000</v>
      </c>
    </row>
    <row r="11" spans="2:8" x14ac:dyDescent="0.3">
      <c r="B11" t="s">
        <v>6</v>
      </c>
      <c r="C11" t="s">
        <v>9</v>
      </c>
      <c r="D11" t="s">
        <v>10</v>
      </c>
      <c r="E11" t="s">
        <v>7</v>
      </c>
      <c r="F11" t="s">
        <v>8</v>
      </c>
    </row>
    <row r="12" spans="2:8" x14ac:dyDescent="0.3">
      <c r="B12" t="s">
        <v>11</v>
      </c>
      <c r="C12">
        <v>39.799999999999997</v>
      </c>
      <c r="D12">
        <f>C12/2</f>
        <v>19.899999999999999</v>
      </c>
      <c r="E12" t="s">
        <v>12</v>
      </c>
    </row>
    <row r="13" spans="2:8" x14ac:dyDescent="0.3">
      <c r="C13">
        <v>44.4</v>
      </c>
      <c r="D13">
        <f t="shared" ref="D13:D36" si="1">C13/2</f>
        <v>22.2</v>
      </c>
      <c r="E13" t="s">
        <v>13</v>
      </c>
    </row>
    <row r="14" spans="2:8" x14ac:dyDescent="0.3">
      <c r="B14" t="s">
        <v>14</v>
      </c>
      <c r="C14">
        <v>39.799999999999997</v>
      </c>
      <c r="D14">
        <f t="shared" si="1"/>
        <v>19.899999999999999</v>
      </c>
    </row>
    <row r="15" spans="2:8" x14ac:dyDescent="0.3">
      <c r="C15">
        <v>44.2</v>
      </c>
      <c r="D15">
        <f t="shared" si="1"/>
        <v>22.1</v>
      </c>
    </row>
    <row r="16" spans="2:8" x14ac:dyDescent="0.3">
      <c r="B16" t="s">
        <v>15</v>
      </c>
      <c r="C16">
        <v>39.799999999999997</v>
      </c>
      <c r="D16">
        <f t="shared" si="1"/>
        <v>19.899999999999999</v>
      </c>
    </row>
    <row r="17" spans="2:4" x14ac:dyDescent="0.3">
      <c r="C17">
        <v>44.4</v>
      </c>
      <c r="D17">
        <f t="shared" si="1"/>
        <v>22.2</v>
      </c>
    </row>
    <row r="18" spans="2:4" x14ac:dyDescent="0.3">
      <c r="B18" t="s">
        <v>16</v>
      </c>
      <c r="C18">
        <v>39.799999999999997</v>
      </c>
      <c r="D18">
        <f t="shared" si="1"/>
        <v>19.899999999999999</v>
      </c>
    </row>
    <row r="19" spans="2:4" x14ac:dyDescent="0.3">
      <c r="C19">
        <v>44.4</v>
      </c>
      <c r="D19">
        <f t="shared" si="1"/>
        <v>22.2</v>
      </c>
    </row>
    <row r="20" spans="2:4" x14ac:dyDescent="0.3">
      <c r="B20" t="s">
        <v>17</v>
      </c>
      <c r="C20">
        <v>51.6</v>
      </c>
      <c r="D20">
        <f t="shared" si="1"/>
        <v>25.8</v>
      </c>
    </row>
    <row r="21" spans="2:4" x14ac:dyDescent="0.3">
      <c r="C21">
        <v>57.2</v>
      </c>
      <c r="D21">
        <f t="shared" si="1"/>
        <v>28.6</v>
      </c>
    </row>
    <row r="22" spans="2:4" x14ac:dyDescent="0.3">
      <c r="B22" t="s">
        <v>18</v>
      </c>
      <c r="C22">
        <v>51.4</v>
      </c>
      <c r="D22">
        <f t="shared" si="1"/>
        <v>25.7</v>
      </c>
    </row>
    <row r="23" spans="2:4" x14ac:dyDescent="0.3">
      <c r="C23">
        <v>57.2</v>
      </c>
      <c r="D23">
        <f t="shared" si="1"/>
        <v>28.6</v>
      </c>
    </row>
    <row r="24" spans="2:4" x14ac:dyDescent="0.3">
      <c r="B24" t="s">
        <v>19</v>
      </c>
      <c r="C24">
        <v>17.399999999999999</v>
      </c>
      <c r="D24">
        <f t="shared" si="1"/>
        <v>8.6999999999999993</v>
      </c>
    </row>
    <row r="25" spans="2:4" x14ac:dyDescent="0.3">
      <c r="C25">
        <v>19.600000000000001</v>
      </c>
      <c r="D25">
        <f t="shared" si="1"/>
        <v>9.8000000000000007</v>
      </c>
    </row>
    <row r="26" spans="2:4" x14ac:dyDescent="0.3">
      <c r="C26">
        <v>35.5</v>
      </c>
      <c r="D26">
        <f t="shared" si="1"/>
        <v>17.75</v>
      </c>
    </row>
    <row r="27" spans="2:4" x14ac:dyDescent="0.3">
      <c r="C27">
        <v>40.5</v>
      </c>
      <c r="D27">
        <f t="shared" si="1"/>
        <v>20.25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Jonáš Venc</dc:creator>
  <cp:lastModifiedBy>Jonáš Venc</cp:lastModifiedBy>
  <dcterms:created xsi:type="dcterms:W3CDTF">2025-10-23T13:12:21Z</dcterms:created>
  <dcterms:modified xsi:type="dcterms:W3CDTF">2025-10-28T11:55:53Z</dcterms:modified>
</cp:coreProperties>
</file>